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BRU01262026\"/>
    </mc:Choice>
  </mc:AlternateContent>
  <xr:revisionPtr revIDLastSave="0" documentId="13_ncr:1_{0365D7D9-5A85-4F87-BFB1-955BBEDAA625}" xr6:coauthVersionLast="47" xr6:coauthVersionMax="47" xr10:uidLastSave="{00000000-0000-0000-0000-000000000000}"/>
  <bookViews>
    <workbookView xWindow="28680" yWindow="-120" windowWidth="29040" windowHeight="15720" tabRatio="370" xr2:uid="{EF7547A6-EAA6-47F7-8D91-BA3D75A89F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5" i="1" l="1"/>
  <c r="I4" i="1"/>
  <c r="K4" i="1"/>
  <c r="K6" i="1"/>
  <c r="I7" i="1"/>
  <c r="J7" i="1"/>
  <c r="K7" i="1"/>
  <c r="I8" i="1"/>
  <c r="K8" i="1"/>
  <c r="I9" i="1"/>
  <c r="K9" i="1"/>
  <c r="K10" i="1"/>
  <c r="I11" i="1"/>
  <c r="J11" i="1"/>
  <c r="K11" i="1"/>
  <c r="I12" i="1"/>
  <c r="K12" i="1"/>
  <c r="K13" i="1"/>
  <c r="K14" i="1"/>
  <c r="I15" i="1"/>
  <c r="K15" i="1"/>
  <c r="J3" i="1"/>
  <c r="K3" i="1"/>
  <c r="I3" i="1"/>
  <c r="O5" i="1"/>
  <c r="P5" i="1" s="1"/>
  <c r="Q5" i="1" s="1"/>
  <c r="C5" i="1" l="1"/>
  <c r="I5" i="1" s="1"/>
  <c r="D15" i="1"/>
  <c r="J15" i="1" s="1"/>
  <c r="D13" i="1"/>
  <c r="J13" i="1" s="1"/>
  <c r="D12" i="1"/>
  <c r="J12" i="1" s="1"/>
  <c r="D9" i="1" l="1"/>
  <c r="J9" i="1" s="1"/>
  <c r="D8" i="1"/>
  <c r="J8" i="1" s="1"/>
  <c r="D4" i="1"/>
  <c r="J4" i="1" s="1"/>
  <c r="D17" i="1" l="1"/>
</calcChain>
</file>

<file path=xl/sharedStrings.xml><?xml version="1.0" encoding="utf-8"?>
<sst xmlns="http://schemas.openxmlformats.org/spreadsheetml/2006/main" count="62" uniqueCount="49">
  <si>
    <t xml:space="preserve">Station </t>
  </si>
  <si>
    <t>Station0</t>
  </si>
  <si>
    <t>Station1</t>
  </si>
  <si>
    <t>Station2</t>
  </si>
  <si>
    <t>Station3</t>
  </si>
  <si>
    <t>Station4</t>
  </si>
  <si>
    <t>Station5</t>
  </si>
  <si>
    <t>Station6</t>
  </si>
  <si>
    <t>Station7</t>
  </si>
  <si>
    <t>Station8</t>
  </si>
  <si>
    <t>Station9</t>
  </si>
  <si>
    <t>Station10</t>
  </si>
  <si>
    <t>Station11</t>
  </si>
  <si>
    <t>Station12</t>
  </si>
  <si>
    <t>Station13</t>
  </si>
  <si>
    <t>Start-&gt;Comp</t>
  </si>
  <si>
    <t>CompBld-&gt;TurbBld</t>
  </si>
  <si>
    <t>ColdStart-&gt;Recup</t>
  </si>
  <si>
    <t>Recup-&gt;HeatSourceHX</t>
  </si>
  <si>
    <t>HeatSourceHX-&gt;Turbine</t>
  </si>
  <si>
    <t>Turb-&gt;HotStart</t>
  </si>
  <si>
    <t>HotStart-&gt;Recup</t>
  </si>
  <si>
    <t>Recup-&gt;HeatSinkHX</t>
  </si>
  <si>
    <t>HeatSinkHX-&gt;Start</t>
  </si>
  <si>
    <t>HeatSinkHX-&gt;Radiator</t>
  </si>
  <si>
    <t>W(lbs/sec)</t>
  </si>
  <si>
    <t>Pt(psia)</t>
  </si>
  <si>
    <t>Tt (R)</t>
  </si>
  <si>
    <t>Small Drop</t>
  </si>
  <si>
    <t>Dow200Start-&gt;Pump</t>
  </si>
  <si>
    <t>Pump-&gt;HeatSinkHX</t>
  </si>
  <si>
    <t>Radiator-&gt;Dow200Start</t>
  </si>
  <si>
    <t>Comp-&gt;Recup</t>
  </si>
  <si>
    <t>kJ/(kg K)</t>
  </si>
  <si>
    <t>BTU/(kg K)</t>
  </si>
  <si>
    <t>BTU/(lbm K)</t>
  </si>
  <si>
    <t>BTU/(lbm R)</t>
  </si>
  <si>
    <t>Dow200 Oil Cp</t>
  </si>
  <si>
    <t>Current Value of Oil Cp</t>
  </si>
  <si>
    <t>Heat Loss</t>
  </si>
  <si>
    <t>Windage</t>
  </si>
  <si>
    <t>Alt Electromagnetic</t>
  </si>
  <si>
    <t>Thrust Bearing</t>
  </si>
  <si>
    <t>Journal Bearing</t>
  </si>
  <si>
    <t>Total</t>
  </si>
  <si>
    <t>BRU 10.5 kW Losses (W)</t>
  </si>
  <si>
    <t>Test Data</t>
  </si>
  <si>
    <t>NPSS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</si>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</sst>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358140</xdr:colOff>
      <xdr:row>19</xdr:row>
      <xdr:rowOff>47625</xdr:rowOff>
    </xdr:from>
    <xdr:to>
      <xdr:col>9</xdr:col>
      <xdr:colOff>268605</xdr:colOff>
      <xdr:row>24</xdr:row>
      <xdr:rowOff>177165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2D89BA3-41DE-E978-11BD-0A0DEB2279A7}"/>
            </a:ext>
          </a:extLst>
        </xdr:cNvPr>
        <xdr:cNvSpPr txBox="1"/>
      </xdr:nvSpPr>
      <xdr:spPr>
        <a:xfrm>
          <a:off x="4349115" y="3667125"/>
          <a:ext cx="2825115" cy="10820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 KJ = 0.947817 BTU</a:t>
          </a:r>
        </a:p>
        <a:p>
          <a:r>
            <a:rPr lang="en-US" sz="1100"/>
            <a:t>1</a:t>
          </a:r>
          <a:r>
            <a:rPr lang="en-US" sz="1100" baseline="0"/>
            <a:t> kg = 2.20462 pound</a:t>
          </a:r>
        </a:p>
        <a:p>
          <a:r>
            <a:rPr lang="en-US" sz="1100" baseline="0"/>
            <a:t>1 K = 1.8 Rankine</a:t>
          </a:r>
          <a:endParaRPr lang="en-US" sz="1100"/>
        </a:p>
      </xdr:txBody>
    </xdr:sp>
    <xdr:clientData/>
  </xdr:twoCellAnchor>
  <xdr:twoCellAnchor>
    <xdr:from>
      <xdr:col>0</xdr:col>
      <xdr:colOff>266700</xdr:colOff>
      <xdr:row>18</xdr:row>
      <xdr:rowOff>28575</xdr:rowOff>
    </xdr:from>
    <xdr:to>
      <xdr:col>5</xdr:col>
      <xdr:colOff>129540</xdr:colOff>
      <xdr:row>28</xdr:row>
      <xdr:rowOff>59055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C08007E-137A-DD80-EC09-3F4A0E98FC6D}"/>
            </a:ext>
          </a:extLst>
        </xdr:cNvPr>
        <xdr:cNvSpPr txBox="1"/>
      </xdr:nvSpPr>
      <xdr:spPr>
        <a:xfrm>
          <a:off x="266700" y="3457575"/>
          <a:ext cx="3853815" cy="19354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1"/>
            <a:t>Notes:</a:t>
          </a:r>
        </a:p>
        <a:p>
          <a:endParaRPr lang="en-US" sz="1100"/>
        </a:p>
        <a:p>
          <a:r>
            <a:rPr lang="en-US" sz="1100"/>
            <a:t>Different mass flows from different reports for turbine and comp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2EB0D-533F-4C22-A391-F6C2E1933777}">
  <dimension ref="A1:Q17"/>
  <sheetViews>
    <sheetView tabSelected="1" workbookViewId="0">
      <selection activeCell="F18" sqref="F18"/>
    </sheetView>
  </sheetViews>
  <sheetFormatPr defaultRowHeight="15" x14ac:dyDescent="0.25"/>
  <cols>
    <col min="1" max="1" width="9.42578125" bestFit="1" customWidth="1"/>
    <col min="2" max="2" width="22.28515625" bestFit="1" customWidth="1"/>
    <col min="3" max="3" width="10.5703125" bestFit="1" customWidth="1"/>
    <col min="4" max="4" width="12" bestFit="1" customWidth="1"/>
    <col min="5" max="5" width="9.42578125" bestFit="1" customWidth="1"/>
    <col min="6" max="6" width="10.5703125" bestFit="1" customWidth="1"/>
    <col min="7" max="8" width="8" bestFit="1" customWidth="1"/>
    <col min="9" max="9" width="10.5703125" bestFit="1" customWidth="1"/>
    <col min="10" max="10" width="12" bestFit="1" customWidth="1"/>
    <col min="11" max="11" width="6" bestFit="1" customWidth="1"/>
    <col min="12" max="12" width="12.7109375" customWidth="1"/>
    <col min="13" max="13" width="22.85546875" bestFit="1" customWidth="1"/>
    <col min="14" max="14" width="10.42578125" bestFit="1" customWidth="1"/>
    <col min="15" max="15" width="13.28515625" bestFit="1" customWidth="1"/>
    <col min="16" max="17" width="11" bestFit="1" customWidth="1"/>
  </cols>
  <sheetData>
    <row r="1" spans="1:17" x14ac:dyDescent="0.25">
      <c r="C1" s="5" t="s">
        <v>46</v>
      </c>
      <c r="D1" s="5" t="s">
        <v>46</v>
      </c>
      <c r="E1" s="5" t="s">
        <v>46</v>
      </c>
      <c r="F1" s="5" t="s">
        <v>47</v>
      </c>
      <c r="G1" s="5" t="s">
        <v>47</v>
      </c>
      <c r="H1" s="5" t="s">
        <v>47</v>
      </c>
      <c r="I1" s="5" t="s">
        <v>48</v>
      </c>
      <c r="J1" s="5" t="s">
        <v>48</v>
      </c>
      <c r="K1" s="5" t="s">
        <v>48</v>
      </c>
    </row>
    <row r="2" spans="1:17" x14ac:dyDescent="0.25">
      <c r="A2" s="2" t="s">
        <v>0</v>
      </c>
      <c r="C2" t="s">
        <v>25</v>
      </c>
      <c r="D2" t="s">
        <v>26</v>
      </c>
      <c r="E2" t="s">
        <v>27</v>
      </c>
      <c r="F2" s="3" t="s">
        <v>25</v>
      </c>
      <c r="G2" s="3" t="s">
        <v>26</v>
      </c>
      <c r="H2" s="3" t="s">
        <v>27</v>
      </c>
      <c r="I2" s="3" t="s">
        <v>25</v>
      </c>
      <c r="J2" s="3" t="s">
        <v>26</v>
      </c>
      <c r="K2" s="3" t="s">
        <v>27</v>
      </c>
      <c r="M2" s="5" t="s">
        <v>38</v>
      </c>
      <c r="N2">
        <v>1.8</v>
      </c>
      <c r="O2" t="s">
        <v>36</v>
      </c>
    </row>
    <row r="3" spans="1:17" x14ac:dyDescent="0.25">
      <c r="A3" s="1" t="s">
        <v>1</v>
      </c>
      <c r="B3" t="s">
        <v>15</v>
      </c>
      <c r="C3">
        <v>1.32</v>
      </c>
      <c r="D3">
        <v>23.7</v>
      </c>
      <c r="E3">
        <v>540</v>
      </c>
      <c r="F3">
        <v>1.32</v>
      </c>
      <c r="G3">
        <v>23.7</v>
      </c>
      <c r="H3">
        <v>540</v>
      </c>
      <c r="I3">
        <f>C3-F3</f>
        <v>0</v>
      </c>
      <c r="J3">
        <f>D3-G3</f>
        <v>0</v>
      </c>
      <c r="K3">
        <f>E3-H3</f>
        <v>0</v>
      </c>
    </row>
    <row r="4" spans="1:17" x14ac:dyDescent="0.25">
      <c r="A4" s="1" t="s">
        <v>2</v>
      </c>
      <c r="B4" t="s">
        <v>32</v>
      </c>
      <c r="C4">
        <v>1.2669999999999999</v>
      </c>
      <c r="D4">
        <f>D3*1.9</f>
        <v>45.029999999999994</v>
      </c>
      <c r="E4">
        <v>737</v>
      </c>
      <c r="F4">
        <v>1.29</v>
      </c>
      <c r="G4">
        <v>45.03</v>
      </c>
      <c r="H4">
        <v>741.7</v>
      </c>
      <c r="I4">
        <f>C4-F4</f>
        <v>-2.3000000000000131E-2</v>
      </c>
      <c r="J4">
        <f>D4-G4</f>
        <v>0</v>
      </c>
      <c r="K4">
        <f>E4-H4</f>
        <v>-4.7000000000000455</v>
      </c>
      <c r="N4" t="s">
        <v>33</v>
      </c>
      <c r="O4" t="s">
        <v>34</v>
      </c>
      <c r="P4" t="s">
        <v>35</v>
      </c>
      <c r="Q4" t="s">
        <v>36</v>
      </c>
    </row>
    <row r="5" spans="1:17" x14ac:dyDescent="0.25">
      <c r="A5" s="1" t="s">
        <v>3</v>
      </c>
      <c r="B5" t="s">
        <v>16</v>
      </c>
      <c r="C5">
        <f>0.02*C4</f>
        <v>2.5339999999999998E-2</v>
      </c>
      <c r="F5">
        <v>0.03</v>
      </c>
      <c r="G5">
        <v>45.03</v>
      </c>
      <c r="H5">
        <v>540</v>
      </c>
      <c r="I5">
        <f>C5-F5</f>
        <v>-4.6600000000000009E-3</v>
      </c>
      <c r="M5" t="s">
        <v>37</v>
      </c>
      <c r="N5">
        <v>3.7</v>
      </c>
      <c r="O5">
        <f>N5*0.947817</f>
        <v>3.5069229000000002</v>
      </c>
      <c r="P5">
        <f>O5/2.20462</f>
        <v>1.5907153613774712</v>
      </c>
      <c r="Q5">
        <f>P5/1.8</f>
        <v>0.88373075632081732</v>
      </c>
    </row>
    <row r="6" spans="1:17" x14ac:dyDescent="0.25">
      <c r="A6" s="1" t="s">
        <v>5</v>
      </c>
      <c r="B6" t="s">
        <v>18</v>
      </c>
      <c r="D6" t="s">
        <v>28</v>
      </c>
      <c r="E6">
        <v>1653</v>
      </c>
      <c r="F6">
        <v>1.29</v>
      </c>
      <c r="G6">
        <v>44.534999999999997</v>
      </c>
      <c r="H6" s="4">
        <v>1580.02</v>
      </c>
      <c r="K6">
        <f>E6-H6</f>
        <v>72.980000000000018</v>
      </c>
    </row>
    <row r="7" spans="1:17" x14ac:dyDescent="0.25">
      <c r="A7" s="1" t="s">
        <v>6</v>
      </c>
      <c r="B7" t="s">
        <v>19</v>
      </c>
      <c r="C7">
        <v>1.31</v>
      </c>
      <c r="D7">
        <v>43.2</v>
      </c>
      <c r="E7">
        <v>2060</v>
      </c>
      <c r="F7">
        <v>1.29</v>
      </c>
      <c r="G7">
        <v>44.534999999999997</v>
      </c>
      <c r="H7">
        <v>2060</v>
      </c>
      <c r="I7">
        <f>C7-F7</f>
        <v>2.0000000000000018E-2</v>
      </c>
      <c r="J7">
        <f>D7-G7</f>
        <v>-1.3349999999999937</v>
      </c>
      <c r="K7">
        <f>E7-H7</f>
        <v>0</v>
      </c>
    </row>
    <row r="8" spans="1:17" x14ac:dyDescent="0.25">
      <c r="A8" s="1" t="s">
        <v>7</v>
      </c>
      <c r="B8" t="s">
        <v>20</v>
      </c>
      <c r="C8">
        <v>1.28</v>
      </c>
      <c r="D8">
        <f>D7/1.75</f>
        <v>24.685714285714287</v>
      </c>
      <c r="E8">
        <v>1701</v>
      </c>
      <c r="F8">
        <v>1.32</v>
      </c>
      <c r="G8">
        <v>24.356000000000002</v>
      </c>
      <c r="H8" s="4">
        <v>1642.07</v>
      </c>
      <c r="I8">
        <f>C8-F8</f>
        <v>-4.0000000000000036E-2</v>
      </c>
      <c r="J8">
        <f>D8-G8</f>
        <v>0.32971428571428518</v>
      </c>
      <c r="K8">
        <f>E8-H8</f>
        <v>58.930000000000064</v>
      </c>
    </row>
    <row r="9" spans="1:17" x14ac:dyDescent="0.25">
      <c r="A9" s="1" t="s">
        <v>8</v>
      </c>
      <c r="B9" t="s">
        <v>21</v>
      </c>
      <c r="C9">
        <v>1.28</v>
      </c>
      <c r="D9">
        <f>D7/1.75</f>
        <v>24.685714285714287</v>
      </c>
      <c r="E9">
        <v>1701</v>
      </c>
      <c r="F9">
        <v>1.28</v>
      </c>
      <c r="G9">
        <v>24.355</v>
      </c>
      <c r="H9" s="4">
        <v>1642.05</v>
      </c>
      <c r="I9">
        <f>C9-F9</f>
        <v>0</v>
      </c>
      <c r="J9">
        <f>D9-G9</f>
        <v>0.3307142857142864</v>
      </c>
      <c r="K9">
        <f>E9-H9</f>
        <v>58.950000000000045</v>
      </c>
      <c r="M9" s="1" t="s">
        <v>45</v>
      </c>
    </row>
    <row r="10" spans="1:17" x14ac:dyDescent="0.25">
      <c r="A10" s="1" t="s">
        <v>9</v>
      </c>
      <c r="B10" t="s">
        <v>22</v>
      </c>
      <c r="E10">
        <v>786</v>
      </c>
      <c r="F10">
        <v>1.28</v>
      </c>
      <c r="G10">
        <v>23.818999999999999</v>
      </c>
      <c r="H10">
        <v>794.77</v>
      </c>
      <c r="K10">
        <f>E10-H10</f>
        <v>-8.7699999999999818</v>
      </c>
      <c r="M10" t="s">
        <v>39</v>
      </c>
      <c r="N10">
        <v>236</v>
      </c>
    </row>
    <row r="11" spans="1:17" x14ac:dyDescent="0.25">
      <c r="A11" s="1" t="s">
        <v>10</v>
      </c>
      <c r="B11" t="s">
        <v>23</v>
      </c>
      <c r="C11">
        <v>1.32</v>
      </c>
      <c r="D11">
        <v>23.7</v>
      </c>
      <c r="E11">
        <v>540</v>
      </c>
      <c r="F11">
        <v>1.28</v>
      </c>
      <c r="G11">
        <v>23.7</v>
      </c>
      <c r="H11">
        <v>540</v>
      </c>
      <c r="I11">
        <f>C11-F11</f>
        <v>4.0000000000000036E-2</v>
      </c>
      <c r="J11">
        <f>D11-G11</f>
        <v>0</v>
      </c>
      <c r="K11">
        <f>E11-H11</f>
        <v>0</v>
      </c>
      <c r="M11" t="s">
        <v>40</v>
      </c>
      <c r="N11">
        <v>650</v>
      </c>
    </row>
    <row r="12" spans="1:17" x14ac:dyDescent="0.25">
      <c r="A12" s="1" t="s">
        <v>11</v>
      </c>
      <c r="B12" t="s">
        <v>29</v>
      </c>
      <c r="C12">
        <v>0.14000000000000001</v>
      </c>
      <c r="D12">
        <f>14.2+6</f>
        <v>20.2</v>
      </c>
      <c r="E12">
        <v>527</v>
      </c>
      <c r="F12">
        <v>0.14000000000000001</v>
      </c>
      <c r="G12">
        <v>20.7</v>
      </c>
      <c r="H12">
        <v>522.47</v>
      </c>
      <c r="I12">
        <f>C12-F12</f>
        <v>0</v>
      </c>
      <c r="J12">
        <f>D12-G12</f>
        <v>-0.5</v>
      </c>
      <c r="K12">
        <f>E12-H12</f>
        <v>4.5299999999999727</v>
      </c>
      <c r="M12" t="s">
        <v>42</v>
      </c>
      <c r="N12">
        <v>179</v>
      </c>
    </row>
    <row r="13" spans="1:17" x14ac:dyDescent="0.25">
      <c r="A13" s="1" t="s">
        <v>12</v>
      </c>
      <c r="B13" t="s">
        <v>30</v>
      </c>
      <c r="D13">
        <f>6+14.7+70</f>
        <v>90.7</v>
      </c>
      <c r="E13">
        <v>527</v>
      </c>
      <c r="F13">
        <v>0.14000000000000001</v>
      </c>
      <c r="G13">
        <v>90.653000000000006</v>
      </c>
      <c r="H13">
        <v>525.54</v>
      </c>
      <c r="J13">
        <f>D13-G13</f>
        <v>4.6999999999997044E-2</v>
      </c>
      <c r="K13">
        <f>E13-H13</f>
        <v>1.4600000000000364</v>
      </c>
      <c r="M13" t="s">
        <v>43</v>
      </c>
      <c r="N13">
        <v>95</v>
      </c>
    </row>
    <row r="14" spans="1:17" x14ac:dyDescent="0.25">
      <c r="A14" s="1" t="s">
        <v>13</v>
      </c>
      <c r="B14" t="s">
        <v>24</v>
      </c>
      <c r="E14">
        <v>746</v>
      </c>
      <c r="F14">
        <v>0.14000000000000001</v>
      </c>
      <c r="G14">
        <v>90.2</v>
      </c>
      <c r="H14">
        <v>731.56</v>
      </c>
      <c r="K14">
        <f>E14-H14</f>
        <v>14.440000000000055</v>
      </c>
      <c r="M14" t="s">
        <v>41</v>
      </c>
      <c r="N14">
        <v>665</v>
      </c>
    </row>
    <row r="15" spans="1:17" x14ac:dyDescent="0.25">
      <c r="A15" s="1" t="s">
        <v>14</v>
      </c>
      <c r="B15" t="s">
        <v>31</v>
      </c>
      <c r="C15">
        <v>0.14000000000000001</v>
      </c>
      <c r="D15">
        <f>6+14.7</f>
        <v>20.7</v>
      </c>
      <c r="E15">
        <v>527</v>
      </c>
      <c r="F15">
        <v>0.14000000000000001</v>
      </c>
      <c r="G15">
        <v>20.7</v>
      </c>
      <c r="H15">
        <v>527</v>
      </c>
      <c r="I15">
        <f>C15-F15</f>
        <v>0</v>
      </c>
      <c r="J15">
        <f>D15-G15</f>
        <v>0</v>
      </c>
      <c r="K15">
        <f>E15-H15</f>
        <v>0</v>
      </c>
      <c r="M15" s="1" t="s">
        <v>44</v>
      </c>
      <c r="N15" s="1">
        <f>SUM(N10:N14)</f>
        <v>1825</v>
      </c>
    </row>
    <row r="17" spans="1:5" x14ac:dyDescent="0.25">
      <c r="A17" s="1" t="s">
        <v>4</v>
      </c>
      <c r="B17" t="s">
        <v>17</v>
      </c>
      <c r="C17">
        <v>1.2669999999999999</v>
      </c>
      <c r="D17">
        <f>D4</f>
        <v>45.029999999999994</v>
      </c>
      <c r="E17">
        <v>738</v>
      </c>
    </row>
  </sheetData>
  <phoneticPr fontId="1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Rodriguez, Luis A. (GRC-LET0)</dc:creator>
  <cp:lastModifiedBy>Daniel Goodell</cp:lastModifiedBy>
  <dcterms:created xsi:type="dcterms:W3CDTF">2025-08-19T20:38:19Z</dcterms:created>
  <dcterms:modified xsi:type="dcterms:W3CDTF">2026-06-10T06:02:57Z</dcterms:modified>
</cp:coreProperties>
</file>